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ROJECT\sabangnet_API\test_macro\"/>
    </mc:Choice>
  </mc:AlternateContent>
  <xr:revisionPtr revIDLastSave="0" documentId="13_ncr:1_{A2A3E419-1AE3-4785-BEEE-3419E56C0E8F}" xr6:coauthVersionLast="47" xr6:coauthVersionMax="47" xr10:uidLastSave="{00000000-0000-0000-0000-000000000000}"/>
  <bookViews>
    <workbookView xWindow="2070" yWindow="3630" windowWidth="25080" windowHeight="11505" activeTab="1" xr2:uid="{00000000-000D-0000-FFFF-FFFF00000000}"/>
  </bookViews>
  <sheets>
    <sheet name="자동화_합포장" sheetId="1" r:id="rId1"/>
    <sheet name="OK,CL,BB" sheetId="2" r:id="rId2"/>
    <sheet name="IY" sheetId="3" r:id="rId3"/>
  </sheets>
  <definedNames>
    <definedName name="_xlnm._FilterDatabase" localSheetId="0" hidden="1">자동화_합포장!$A$1:$AB$6</definedName>
  </definedNames>
  <calcPr calcId="191029"/>
</workbook>
</file>

<file path=xl/calcChain.xml><?xml version="1.0" encoding="utf-8"?>
<calcChain xmlns="http://schemas.openxmlformats.org/spreadsheetml/2006/main">
  <c r="D6" i="2" l="1"/>
  <c r="A6" i="2"/>
  <c r="D5" i="2"/>
  <c r="A5" i="2"/>
  <c r="D4" i="2"/>
  <c r="A4" i="2"/>
  <c r="D3" i="2"/>
  <c r="A3" i="2"/>
  <c r="D2" i="2"/>
  <c r="A2" i="2"/>
  <c r="A4" i="1"/>
  <c r="A2" i="1"/>
  <c r="A3" i="1"/>
  <c r="A5" i="1"/>
  <c r="A6" i="1"/>
  <c r="D6" i="1"/>
  <c r="D5" i="1"/>
  <c r="D3" i="1"/>
  <c r="D2" i="1"/>
  <c r="D4" i="1"/>
</calcChain>
</file>

<file path=xl/sharedStrings.xml><?xml version="1.0" encoding="utf-8"?>
<sst xmlns="http://schemas.openxmlformats.org/spreadsheetml/2006/main" count="226" uniqueCount="73">
  <si>
    <t>순번</t>
  </si>
  <si>
    <t>사이트</t>
  </si>
  <si>
    <t>수취인명</t>
  </si>
  <si>
    <t>금액</t>
  </si>
  <si>
    <t>주문번호</t>
  </si>
  <si>
    <t>제품명</t>
  </si>
  <si>
    <t>수량</t>
  </si>
  <si>
    <t>전화번호1</t>
  </si>
  <si>
    <t>전화번호2</t>
  </si>
  <si>
    <t>수취인주소</t>
  </si>
  <si>
    <t>우편번호</t>
  </si>
  <si>
    <t>선/착불</t>
  </si>
  <si>
    <t>상품번호</t>
  </si>
  <si>
    <t>배송메세지</t>
  </si>
  <si>
    <t>정산예정금액</t>
  </si>
  <si>
    <t>서비스이용료</t>
  </si>
  <si>
    <t>장바구니번호</t>
  </si>
  <si>
    <t>운송장번호</t>
  </si>
  <si>
    <t>판매자관리코드</t>
  </si>
  <si>
    <t>배송비</t>
  </si>
  <si>
    <t>사방넷품번코드</t>
  </si>
  <si>
    <t>사방넷주문번호</t>
  </si>
  <si>
    <t>수집상품명</t>
  </si>
  <si>
    <t>수집옵션</t>
  </si>
  <si>
    <t>사은품</t>
  </si>
  <si>
    <t>운임비타입</t>
  </si>
  <si>
    <t>금액[배송비미포함]</t>
  </si>
  <si>
    <t>ERP업로드용_모델명</t>
  </si>
  <si>
    <t>[클로버프]G마켓2.0</t>
  </si>
  <si>
    <t>정서빈</t>
  </si>
  <si>
    <t>010-2046-0409</t>
  </si>
  <si>
    <t>경기도 의정부시 평화로 443 (승윤노블리안시티) 1011호</t>
  </si>
  <si>
    <t>117-00</t>
  </si>
  <si>
    <t>4317867843</t>
  </si>
  <si>
    <t>부재 시 문 앞에 놓아주세요.</t>
  </si>
  <si>
    <t>5402030944</t>
  </si>
  <si>
    <t>S</t>
  </si>
  <si>
    <t>128024</t>
  </si>
  <si>
    <t>에어 쿠션 운동화 키높이깔창 3cm 4.5cm 6cm 남자 여자 신발깔창</t>
  </si>
  <si>
    <t>색상:INSOLE8_4.5cm/400원/1개</t>
  </si>
  <si>
    <t>ODM-INSOLE8(4.5cm) 1개</t>
  </si>
  <si>
    <t>박진경</t>
  </si>
  <si>
    <t>010-4569-0814</t>
  </si>
  <si>
    <t>경기도 과천시 별양로 163 (래미안 센트럴스위트) 701동1101호</t>
  </si>
  <si>
    <t>138-36</t>
  </si>
  <si>
    <t>4301523308</t>
  </si>
  <si>
    <t>5401918999</t>
  </si>
  <si>
    <t>125089</t>
  </si>
  <si>
    <t>터치 방수 겨울장갑 기모 방한장갑</t>
  </si>
  <si>
    <t>색상:DMGV01_XL사이즈/0원/1개</t>
  </si>
  <si>
    <t>OFS-DMGV01(XL) 1개</t>
  </si>
  <si>
    <t>색상:DMGV01_S사이즈/0원/6개</t>
  </si>
  <si>
    <t>OFS-DMGV01(S) 6개</t>
  </si>
  <si>
    <t>한윤정</t>
  </si>
  <si>
    <t>010-3548-2617</t>
  </si>
  <si>
    <t>경상남도 창원시 진해구 신항5로 56 (사랑으로 부영6단지아파트) 사랑으로 부영 6단지 607동 602호</t>
  </si>
  <si>
    <t>516-11</t>
  </si>
  <si>
    <t>4356721766</t>
  </si>
  <si>
    <t>5401979920</t>
  </si>
  <si>
    <t>128514</t>
  </si>
  <si>
    <t>펀칭 니트 여름 버킷햇 여성 햇빛가리개 벙거지모자</t>
  </si>
  <si>
    <t>색상:BUCKET02_블랙/0원/1개</t>
  </si>
  <si>
    <t>ODM-BUCKET02(BK) 1개</t>
  </si>
  <si>
    <t>4356723184</t>
  </si>
  <si>
    <t>128526</t>
  </si>
  <si>
    <t>여성 여름 버킷햇 벙거지모자 햇빛가리개</t>
  </si>
  <si>
    <t>색상:BUCKET06_아이보리/0원/1개</t>
  </si>
  <si>
    <t>ODM-BUCKET06(IV) 1개</t>
  </si>
  <si>
    <t>ODM-INSOLE8(4.5cm)&lt;에어깔창&gt;</t>
    <phoneticPr fontId="1" type="noConversion"/>
  </si>
  <si>
    <t>OFS-DMGV01(XL) &lt;장갑&gt;</t>
    <phoneticPr fontId="1" type="noConversion"/>
  </si>
  <si>
    <t>OFS-DMGV01(S) &lt;장갑&gt; 6개</t>
    <phoneticPr fontId="1" type="noConversion"/>
  </si>
  <si>
    <t>ODM-BUCKET02(BK)&lt;펀칭니트벙거지&gt;</t>
    <phoneticPr fontId="1" type="noConversion"/>
  </si>
  <si>
    <t>ODM-BUCKET06(IV)&lt;셔링버킷햇&gt;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</si>
</sst>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sz val="9"/>
      <color indexed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left" vertical="center" wrapText="1"/>
    </xf>
    <xf numFmtId="0" fontId="5" fillId="0" borderId="0" xfId="0" applyNumberFormat="1" applyFont="1" applyFill="1" applyBorder="1" applyAlignment="1">
      <alignment horizontal="right" vertical="center" wrapText="1"/>
    </xf>
    <xf numFmtId="49" fontId="5" fillId="0" borderId="0" xfId="0" applyNumberFormat="1" applyFont="1" applyFill="1" applyBorder="1" applyAlignment="1">
      <alignment horizontal="righ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4" fillId="0" borderId="0" xfId="0" applyFont="1" applyBorder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66675</xdr:rowOff>
        </xdr:from>
        <xdr:to>
          <xdr:col>1</xdr:col>
          <xdr:colOff>1323975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0</xdr:row>
          <xdr:rowOff>66675</xdr:rowOff>
        </xdr:from>
        <xdr:to>
          <xdr:col>2</xdr:col>
          <xdr:colOff>1057275</xdr:colOff>
          <xdr:row>0</xdr:row>
          <xdr:rowOff>428625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1114425</xdr:colOff>
          <xdr:row>0</xdr:row>
          <xdr:rowOff>66675</xdr:rowOff>
        </xdr:from>
        <xdr:to>
          <xdr:col>3</xdr:col>
          <xdr:colOff>628650</xdr:colOff>
          <xdr:row>0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착불+중복상품명체크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66675</xdr:rowOff>
        </xdr:from>
        <xdr:to>
          <xdr:col>1</xdr:col>
          <xdr:colOff>1323975</xdr:colOff>
          <xdr:row>0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F95148A-5C10-49C5-B6F2-3F2145916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0</xdr:row>
          <xdr:rowOff>66675</xdr:rowOff>
        </xdr:from>
        <xdr:to>
          <xdr:col>2</xdr:col>
          <xdr:colOff>1057275</xdr:colOff>
          <xdr:row>0</xdr:row>
          <xdr:rowOff>428625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B566F02-AC7F-4C88-BB69-7954D204D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1114425</xdr:colOff>
          <xdr:row>0</xdr:row>
          <xdr:rowOff>66675</xdr:rowOff>
        </xdr:from>
        <xdr:to>
          <xdr:col>3</xdr:col>
          <xdr:colOff>628650</xdr:colOff>
          <xdr:row>0</xdr:row>
          <xdr:rowOff>428625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30E017F6-A457-49BB-A18B-8B98D7213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착불+중복상품명체크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66675</xdr:rowOff>
        </xdr:from>
        <xdr:to>
          <xdr:col>1</xdr:col>
          <xdr:colOff>1323975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6C8700F-A27C-42EC-B455-F909543D1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1~13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0</xdr:row>
          <xdr:rowOff>66675</xdr:rowOff>
        </xdr:from>
        <xdr:to>
          <xdr:col>2</xdr:col>
          <xdr:colOff>1057275</xdr:colOff>
          <xdr:row>0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FBCA7C6-AB21-45B6-A198-147B04A77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모델명수정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1114425</xdr:colOff>
          <xdr:row>0</xdr:row>
          <xdr:rowOff>66675</xdr:rowOff>
        </xdr:from>
        <xdr:to>
          <xdr:col>3</xdr:col>
          <xdr:colOff>628650</xdr:colOff>
          <xdr:row>0</xdr:row>
          <xdr:rowOff>428625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B0944AC-E068-4ED9-A5EE-E0BE7192C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착불+중복상품명체크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"/>
  <sheetViews>
    <sheetView showGridLines="0" tabSelected="1" workbookViewId="0">
      <selection activeCell="E2" sqref="E2:E6"/>
    </sheetView>
  </sheetViews>
  <sheetFormatPr defaultRowHeight="15" customHeight="1" x14ac:dyDescent="0.3"/>
  <cols>
    <col min="1" max="1" width="4" style="11" customWidth="1"/>
    <col min="2" max="2" width="18.5" style="12" customWidth="1"/>
    <col min="3" max="3" width="27.375" style="13" customWidth="1"/>
    <col min="4" max="4" width="10.625" style="14" customWidth="1"/>
    <col min="5" max="5" width="43.25" style="15" customWidth="1"/>
    <col min="6" max="6" width="87.5" style="10" customWidth="1"/>
    <col min="7" max="7" width="4" style="15" customWidth="1"/>
    <col min="8" max="9" width="14.25" style="10" customWidth="1"/>
    <col min="10" max="10" width="65.625" style="10" customWidth="1"/>
    <col min="11" max="11" width="7.25" style="10" customWidth="1"/>
    <col min="12" max="12" width="15.375" style="10" customWidth="1"/>
    <col min="13" max="13" width="43.25" style="10" customWidth="1"/>
    <col min="14" max="14" width="61" style="10" customWidth="1"/>
    <col min="15" max="15" width="10.375" style="10" customWidth="1"/>
    <col min="16" max="16" width="19" style="10" customWidth="1"/>
    <col min="17" max="17" width="11" style="10" customWidth="1"/>
    <col min="18" max="18" width="8.75" style="10" customWidth="1"/>
    <col min="19" max="19" width="20.5" style="10" customWidth="1"/>
    <col min="20" max="20" width="54" style="10" customWidth="1"/>
    <col min="21" max="21" width="13.125" style="10" customWidth="1"/>
    <col min="22" max="22" width="5.625" style="10" customWidth="1"/>
    <col min="23" max="23" width="11.875" style="10" customWidth="1"/>
    <col min="24" max="24" width="43.25" style="10" customWidth="1"/>
    <col min="25" max="25" width="216.125" style="10" customWidth="1"/>
    <col min="26" max="26" width="75.5" style="10" customWidth="1"/>
    <col min="27" max="27" width="5.625" style="10" customWidth="1"/>
    <col min="28" max="16384" width="9" style="10"/>
  </cols>
  <sheetData>
    <row r="1" spans="1:28" s="3" customFormat="1" ht="15" customHeight="1" x14ac:dyDescent="0.2">
      <c r="A1" s="1" t="s">
        <v>0</v>
      </c>
      <c r="B1" s="2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25</v>
      </c>
      <c r="T1" s="2" t="s">
        <v>18</v>
      </c>
      <c r="U1" s="2" t="s">
        <v>26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s="2" t="s">
        <v>27</v>
      </c>
      <c r="AB1" s="2" t="s">
        <v>24</v>
      </c>
    </row>
    <row r="2" spans="1:28" ht="15" customHeight="1" x14ac:dyDescent="0.3">
      <c r="A2" s="4">
        <f>ROW()-1</f>
        <v>1</v>
      </c>
      <c r="B2" s="5" t="s">
        <v>28</v>
      </c>
      <c r="C2" s="6" t="s">
        <v>41</v>
      </c>
      <c r="D2" s="7">
        <f>O2+P2+V2</f>
        <v>2610</v>
      </c>
      <c r="E2" s="7">
        <v>4318835084</v>
      </c>
      <c r="F2" s="6" t="s">
        <v>69</v>
      </c>
      <c r="G2" s="8">
        <v>1</v>
      </c>
      <c r="H2" s="6" t="s">
        <v>42</v>
      </c>
      <c r="I2" s="6" t="s">
        <v>42</v>
      </c>
      <c r="J2" s="6" t="s">
        <v>43</v>
      </c>
      <c r="K2" s="6" t="s">
        <v>44</v>
      </c>
      <c r="L2" s="6"/>
      <c r="M2" s="6" t="s">
        <v>45</v>
      </c>
      <c r="N2" s="6"/>
      <c r="O2" s="9">
        <v>2220</v>
      </c>
      <c r="P2" s="6">
        <v>390</v>
      </c>
      <c r="Q2" s="6" t="s">
        <v>46</v>
      </c>
      <c r="R2" s="6"/>
      <c r="S2" s="6" t="s">
        <v>36</v>
      </c>
      <c r="T2" s="6"/>
      <c r="U2" s="9">
        <v>2610</v>
      </c>
      <c r="V2" s="6">
        <v>0</v>
      </c>
      <c r="W2" s="6" t="s">
        <v>47</v>
      </c>
      <c r="X2" s="9">
        <v>2080312285</v>
      </c>
      <c r="Y2" s="6" t="s">
        <v>48</v>
      </c>
      <c r="Z2" s="6" t="s">
        <v>49</v>
      </c>
      <c r="AA2" s="6" t="s">
        <v>50</v>
      </c>
      <c r="AB2" s="6"/>
    </row>
    <row r="3" spans="1:28" ht="15" customHeight="1" x14ac:dyDescent="0.3">
      <c r="A3" s="4">
        <f>ROW()-1</f>
        <v>2</v>
      </c>
      <c r="B3" s="5" t="s">
        <v>28</v>
      </c>
      <c r="C3" s="6" t="s">
        <v>41</v>
      </c>
      <c r="D3" s="7">
        <f>O3+P3+V3</f>
        <v>18660</v>
      </c>
      <c r="E3" s="7">
        <v>4318835083</v>
      </c>
      <c r="F3" s="6" t="s">
        <v>70</v>
      </c>
      <c r="G3" s="8">
        <v>6</v>
      </c>
      <c r="H3" s="6" t="s">
        <v>42</v>
      </c>
      <c r="I3" s="6" t="s">
        <v>42</v>
      </c>
      <c r="J3" s="6" t="s">
        <v>43</v>
      </c>
      <c r="K3" s="6" t="s">
        <v>44</v>
      </c>
      <c r="L3" s="6"/>
      <c r="M3" s="6" t="s">
        <v>45</v>
      </c>
      <c r="N3" s="6"/>
      <c r="O3" s="9">
        <v>13320</v>
      </c>
      <c r="P3" s="6">
        <v>2340</v>
      </c>
      <c r="Q3" s="6" t="s">
        <v>46</v>
      </c>
      <c r="R3" s="6"/>
      <c r="S3" s="6" t="s">
        <v>36</v>
      </c>
      <c r="T3" s="6"/>
      <c r="U3" s="9">
        <v>14790</v>
      </c>
      <c r="V3" s="6">
        <v>3000</v>
      </c>
      <c r="W3" s="6" t="s">
        <v>47</v>
      </c>
      <c r="X3" s="9">
        <v>2080312289</v>
      </c>
      <c r="Y3" s="6" t="s">
        <v>48</v>
      </c>
      <c r="Z3" s="6" t="s">
        <v>51</v>
      </c>
      <c r="AA3" s="6" t="s">
        <v>52</v>
      </c>
      <c r="AB3" s="6"/>
    </row>
    <row r="4" spans="1:28" ht="15" customHeight="1" x14ac:dyDescent="0.3">
      <c r="A4" s="4">
        <f>ROW()-1</f>
        <v>3</v>
      </c>
      <c r="B4" s="5" t="s">
        <v>28</v>
      </c>
      <c r="C4" s="6" t="s">
        <v>29</v>
      </c>
      <c r="D4" s="8">
        <f>O4+P4+V4</f>
        <v>6458</v>
      </c>
      <c r="E4" s="7">
        <v>4319005816</v>
      </c>
      <c r="F4" s="6" t="s">
        <v>68</v>
      </c>
      <c r="G4" s="8">
        <v>1</v>
      </c>
      <c r="H4" s="6" t="s">
        <v>30</v>
      </c>
      <c r="I4" s="6" t="s">
        <v>30</v>
      </c>
      <c r="J4" s="6" t="s">
        <v>31</v>
      </c>
      <c r="K4" s="6" t="s">
        <v>32</v>
      </c>
      <c r="L4" s="6"/>
      <c r="M4" s="6" t="s">
        <v>33</v>
      </c>
      <c r="N4" s="6" t="s">
        <v>34</v>
      </c>
      <c r="O4" s="9">
        <v>2990</v>
      </c>
      <c r="P4" s="6">
        <v>468</v>
      </c>
      <c r="Q4" s="6" t="s">
        <v>35</v>
      </c>
      <c r="R4" s="6"/>
      <c r="S4" s="6" t="s">
        <v>36</v>
      </c>
      <c r="T4" s="6"/>
      <c r="U4" s="9">
        <v>3510</v>
      </c>
      <c r="V4" s="6">
        <v>3000</v>
      </c>
      <c r="W4" s="6" t="s">
        <v>37</v>
      </c>
      <c r="X4" s="9">
        <v>2080312275</v>
      </c>
      <c r="Y4" s="6" t="s">
        <v>38</v>
      </c>
      <c r="Z4" s="6" t="s">
        <v>39</v>
      </c>
      <c r="AA4" s="6" t="s">
        <v>40</v>
      </c>
      <c r="AB4" s="6"/>
    </row>
    <row r="5" spans="1:28" ht="15" customHeight="1" x14ac:dyDescent="0.3">
      <c r="A5" s="4">
        <f>ROW()-1</f>
        <v>4</v>
      </c>
      <c r="B5" s="5" t="s">
        <v>28</v>
      </c>
      <c r="C5" s="6" t="s">
        <v>53</v>
      </c>
      <c r="D5" s="7">
        <f>O5+P5+V5</f>
        <v>5400</v>
      </c>
      <c r="E5" s="7">
        <v>4318927651</v>
      </c>
      <c r="F5" s="6" t="s">
        <v>71</v>
      </c>
      <c r="G5" s="8">
        <v>1</v>
      </c>
      <c r="H5" s="6" t="s">
        <v>54</v>
      </c>
      <c r="I5" s="6" t="s">
        <v>54</v>
      </c>
      <c r="J5" s="6" t="s">
        <v>55</v>
      </c>
      <c r="K5" s="6" t="s">
        <v>56</v>
      </c>
      <c r="L5" s="6"/>
      <c r="M5" s="6" t="s">
        <v>57</v>
      </c>
      <c r="N5" s="6"/>
      <c r="O5" s="9">
        <v>4620</v>
      </c>
      <c r="P5" s="6">
        <v>780</v>
      </c>
      <c r="Q5" s="6" t="s">
        <v>58</v>
      </c>
      <c r="R5" s="6"/>
      <c r="S5" s="6" t="s">
        <v>36</v>
      </c>
      <c r="T5" s="6"/>
      <c r="U5" s="9">
        <v>5400</v>
      </c>
      <c r="V5" s="6">
        <v>0</v>
      </c>
      <c r="W5" s="6" t="s">
        <v>59</v>
      </c>
      <c r="X5" s="9">
        <v>2080312278</v>
      </c>
      <c r="Y5" s="6" t="s">
        <v>60</v>
      </c>
      <c r="Z5" s="6" t="s">
        <v>61</v>
      </c>
      <c r="AA5" s="6" t="s">
        <v>62</v>
      </c>
      <c r="AB5" s="6"/>
    </row>
    <row r="6" spans="1:28" ht="15" customHeight="1" x14ac:dyDescent="0.3">
      <c r="A6" s="4">
        <f>ROW()-1</f>
        <v>5</v>
      </c>
      <c r="B6" s="5" t="s">
        <v>28</v>
      </c>
      <c r="C6" s="6" t="s">
        <v>53</v>
      </c>
      <c r="D6" s="7">
        <f>O6+P6+V6</f>
        <v>8850</v>
      </c>
      <c r="E6" s="7">
        <v>4318927650</v>
      </c>
      <c r="F6" s="6" t="s">
        <v>72</v>
      </c>
      <c r="G6" s="8">
        <v>1</v>
      </c>
      <c r="H6" s="6" t="s">
        <v>54</v>
      </c>
      <c r="I6" s="6" t="s">
        <v>54</v>
      </c>
      <c r="J6" s="6" t="s">
        <v>55</v>
      </c>
      <c r="K6" s="6" t="s">
        <v>56</v>
      </c>
      <c r="L6" s="6"/>
      <c r="M6" s="6" t="s">
        <v>63</v>
      </c>
      <c r="N6" s="6"/>
      <c r="O6" s="9">
        <v>4940</v>
      </c>
      <c r="P6" s="6">
        <v>910</v>
      </c>
      <c r="Q6" s="6" t="s">
        <v>58</v>
      </c>
      <c r="R6" s="6"/>
      <c r="S6" s="6" t="s">
        <v>36</v>
      </c>
      <c r="T6" s="6"/>
      <c r="U6" s="9">
        <v>5850</v>
      </c>
      <c r="V6" s="6">
        <v>3000</v>
      </c>
      <c r="W6" s="6" t="s">
        <v>64</v>
      </c>
      <c r="X6" s="9">
        <v>2080312281</v>
      </c>
      <c r="Y6" s="6" t="s">
        <v>65</v>
      </c>
      <c r="Z6" s="6" t="s">
        <v>66</v>
      </c>
      <c r="AA6" s="6" t="s">
        <v>67</v>
      </c>
      <c r="AB6" s="6"/>
    </row>
  </sheetData>
  <autoFilter ref="A1:AB6" xr:uid="{00000000-0001-0000-0000-000000000000}"/>
  <sortState xmlns:xlrd2="http://schemas.microsoft.com/office/spreadsheetml/2017/richdata2" ref="A2:AB6">
    <sortCondition ref="B2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단계1_13_전체작업">
                <anchor moveWithCells="1" sizeWithCells="1">
                  <from>
                    <xdr:col>1</xdr:col>
                    <xdr:colOff>247650</xdr:colOff>
                    <xdr:row>0</xdr:row>
                    <xdr:rowOff>66675</xdr:rowOff>
                  </from>
                  <to>
                    <xdr:col>1</xdr:col>
                    <xdr:colOff>1323975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1</xdr:col>
                    <xdr:colOff>1390650</xdr:colOff>
                    <xdr:row>0</xdr:row>
                    <xdr:rowOff>66675</xdr:rowOff>
                  </from>
                  <to>
                    <xdr:col>2</xdr:col>
                    <xdr:colOff>1057275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2</xdr:col>
                    <xdr:colOff>1114425</xdr:colOff>
                    <xdr:row>0</xdr:row>
                    <xdr:rowOff>66675</xdr:rowOff>
                  </from>
                  <to>
                    <xdr:col>3</xdr:col>
                    <xdr:colOff>628650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3BCF-70F0-4C46-A89E-2938DE56B1AA}">
  <dimension ref="A1:AB6"/>
  <sheetViews>
    <sheetView tabSelected="1" workbookViewId="0">
      <selection activeCell="E2" sqref="E2:E6"/>
    </sheetView>
  </sheetViews>
  <sheetFormatPr defaultRowHeight="16.5" x14ac:dyDescent="0.3"/>
  <cols>
    <col min="1" max="1" width="4" customWidth="1"/>
    <col min="2" max="2" width="18.5" customWidth="1"/>
    <col min="3" max="3" width="27.375" customWidth="1"/>
    <col min="4" max="4" width="10.625" customWidth="1"/>
    <col min="5" max="5" width="43.25" customWidth="1"/>
    <col min="6" max="6" width="87.5" customWidth="1"/>
    <col min="7" max="7" width="4" customWidth="1"/>
    <col min="8" max="9" width="14.25" customWidth="1"/>
    <col min="10" max="10" width="65.625" customWidth="1"/>
    <col min="11" max="11" width="7.25" customWidth="1"/>
    <col min="12" max="12" width="15.375" customWidth="1"/>
    <col min="13" max="13" width="43.25" customWidth="1"/>
    <col min="14" max="14" width="61" customWidth="1"/>
    <col min="15" max="15" width="10.375" customWidth="1"/>
    <col min="16" max="16" width="19" customWidth="1"/>
    <col min="17" max="17" width="11" customWidth="1"/>
    <col min="18" max="18" width="8.75" customWidth="1"/>
    <col min="19" max="19" width="20.5" customWidth="1"/>
    <col min="20" max="20" width="54" customWidth="1"/>
    <col min="21" max="21" width="13.125" customWidth="1"/>
    <col min="22" max="22" width="5.625" customWidth="1"/>
    <col min="23" max="23" width="11.875" customWidth="1"/>
    <col min="24" max="24" width="43.25" customWidth="1"/>
    <col min="25" max="25" width="216.125" customWidth="1"/>
    <col min="26" max="26" width="75.5" customWidth="1"/>
    <col min="27" max="27" width="5.625" customWidth="1"/>
  </cols>
  <sheetData>
    <row r="1" spans="1:28" s="3" customFormat="1" ht="15" customHeight="1" x14ac:dyDescent="0.2">
      <c r="A1" s="1" t="s">
        <v>0</v>
      </c>
      <c r="B1" s="2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25</v>
      </c>
      <c r="T1" s="2" t="s">
        <v>18</v>
      </c>
      <c r="U1" s="2" t="s">
        <v>26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s="2" t="s">
        <v>27</v>
      </c>
      <c r="AB1" s="2" t="s">
        <v>24</v>
      </c>
    </row>
    <row r="2" spans="1:28" s="10" customFormat="1" ht="15" customHeight="1" x14ac:dyDescent="0.3">
      <c r="A2" s="4">
        <f>ROW()-1</f>
        <v>1</v>
      </c>
      <c r="B2" s="5" t="s">
        <v>28</v>
      </c>
      <c r="C2" s="6" t="s">
        <v>41</v>
      </c>
      <c r="D2" s="7">
        <f>O2+P2+V2</f>
        <v>2610</v>
      </c>
      <c r="E2" s="7">
        <v>4318835084</v>
      </c>
      <c r="F2" s="6" t="s">
        <v>69</v>
      </c>
      <c r="G2" s="8">
        <v>1</v>
      </c>
      <c r="H2" s="6" t="s">
        <v>42</v>
      </c>
      <c r="I2" s="6" t="s">
        <v>42</v>
      </c>
      <c r="J2" s="6" t="s">
        <v>43</v>
      </c>
      <c r="K2" s="6" t="s">
        <v>44</v>
      </c>
      <c r="L2" s="6"/>
      <c r="M2" s="6" t="s">
        <v>45</v>
      </c>
      <c r="N2" s="6"/>
      <c r="O2" s="9">
        <v>2220</v>
      </c>
      <c r="P2" s="6">
        <v>390</v>
      </c>
      <c r="Q2" s="6" t="s">
        <v>46</v>
      </c>
      <c r="R2" s="6"/>
      <c r="S2" s="6" t="s">
        <v>36</v>
      </c>
      <c r="T2" s="6"/>
      <c r="U2" s="9">
        <v>2610</v>
      </c>
      <c r="V2" s="6">
        <v>0</v>
      </c>
      <c r="W2" s="6" t="s">
        <v>47</v>
      </c>
      <c r="X2" s="9">
        <v>2080312285</v>
      </c>
      <c r="Y2" s="6" t="s">
        <v>48</v>
      </c>
      <c r="Z2" s="6" t="s">
        <v>49</v>
      </c>
      <c r="AA2" s="6" t="s">
        <v>50</v>
      </c>
      <c r="AB2" s="6"/>
    </row>
    <row r="3" spans="1:28" s="10" customFormat="1" ht="15" customHeight="1" x14ac:dyDescent="0.3">
      <c r="A3" s="4">
        <f>ROW()-1</f>
        <v>2</v>
      </c>
      <c r="B3" s="5" t="s">
        <v>28</v>
      </c>
      <c r="C3" s="6" t="s">
        <v>41</v>
      </c>
      <c r="D3" s="7">
        <f>O3+P3+V3</f>
        <v>18660</v>
      </c>
      <c r="E3" s="7">
        <v>4318835083</v>
      </c>
      <c r="F3" s="6" t="s">
        <v>70</v>
      </c>
      <c r="G3" s="8">
        <v>6</v>
      </c>
      <c r="H3" s="6" t="s">
        <v>42</v>
      </c>
      <c r="I3" s="6" t="s">
        <v>42</v>
      </c>
      <c r="J3" s="6" t="s">
        <v>43</v>
      </c>
      <c r="K3" s="6" t="s">
        <v>44</v>
      </c>
      <c r="L3" s="6"/>
      <c r="M3" s="6" t="s">
        <v>45</v>
      </c>
      <c r="N3" s="6"/>
      <c r="O3" s="9">
        <v>13320</v>
      </c>
      <c r="P3" s="6">
        <v>2340</v>
      </c>
      <c r="Q3" s="6" t="s">
        <v>46</v>
      </c>
      <c r="R3" s="6"/>
      <c r="S3" s="6" t="s">
        <v>36</v>
      </c>
      <c r="T3" s="6"/>
      <c r="U3" s="9">
        <v>14790</v>
      </c>
      <c r="V3" s="6">
        <v>3000</v>
      </c>
      <c r="W3" s="6" t="s">
        <v>47</v>
      </c>
      <c r="X3" s="9">
        <v>2080312289</v>
      </c>
      <c r="Y3" s="6" t="s">
        <v>48</v>
      </c>
      <c r="Z3" s="6" t="s">
        <v>51</v>
      </c>
      <c r="AA3" s="6" t="s">
        <v>52</v>
      </c>
      <c r="AB3" s="6"/>
    </row>
    <row r="4" spans="1:28" s="10" customFormat="1" ht="15" customHeight="1" x14ac:dyDescent="0.3">
      <c r="A4" s="4">
        <f>ROW()-1</f>
        <v>3</v>
      </c>
      <c r="B4" s="5" t="s">
        <v>28</v>
      </c>
      <c r="C4" s="6" t="s">
        <v>29</v>
      </c>
      <c r="D4" s="8">
        <f>O4+P4+V4</f>
        <v>6458</v>
      </c>
      <c r="E4" s="7">
        <v>4319005816</v>
      </c>
      <c r="F4" s="6" t="s">
        <v>68</v>
      </c>
      <c r="G4" s="8">
        <v>1</v>
      </c>
      <c r="H4" s="6" t="s">
        <v>30</v>
      </c>
      <c r="I4" s="6" t="s">
        <v>30</v>
      </c>
      <c r="J4" s="6" t="s">
        <v>31</v>
      </c>
      <c r="K4" s="6" t="s">
        <v>32</v>
      </c>
      <c r="L4" s="6"/>
      <c r="M4" s="6" t="s">
        <v>33</v>
      </c>
      <c r="N4" s="6" t="s">
        <v>34</v>
      </c>
      <c r="O4" s="9">
        <v>2990</v>
      </c>
      <c r="P4" s="6">
        <v>468</v>
      </c>
      <c r="Q4" s="6" t="s">
        <v>35</v>
      </c>
      <c r="R4" s="6"/>
      <c r="S4" s="6" t="s">
        <v>36</v>
      </c>
      <c r="T4" s="6"/>
      <c r="U4" s="9">
        <v>3510</v>
      </c>
      <c r="V4" s="6">
        <v>3000</v>
      </c>
      <c r="W4" s="6" t="s">
        <v>37</v>
      </c>
      <c r="X4" s="9">
        <v>2080312275</v>
      </c>
      <c r="Y4" s="6" t="s">
        <v>38</v>
      </c>
      <c r="Z4" s="6" t="s">
        <v>39</v>
      </c>
      <c r="AA4" s="6" t="s">
        <v>40</v>
      </c>
      <c r="AB4" s="6"/>
    </row>
    <row r="5" spans="1:28" s="10" customFormat="1" ht="15" customHeight="1" x14ac:dyDescent="0.3">
      <c r="A5" s="4">
        <f>ROW()-1</f>
        <v>4</v>
      </c>
      <c r="B5" s="5" t="s">
        <v>28</v>
      </c>
      <c r="C5" s="6" t="s">
        <v>53</v>
      </c>
      <c r="D5" s="7">
        <f>O5+P5+V5</f>
        <v>5400</v>
      </c>
      <c r="E5" s="7">
        <v>4318927651</v>
      </c>
      <c r="F5" s="6" t="s">
        <v>71</v>
      </c>
      <c r="G5" s="8">
        <v>1</v>
      </c>
      <c r="H5" s="6" t="s">
        <v>54</v>
      </c>
      <c r="I5" s="6" t="s">
        <v>54</v>
      </c>
      <c r="J5" s="6" t="s">
        <v>55</v>
      </c>
      <c r="K5" s="6" t="s">
        <v>56</v>
      </c>
      <c r="L5" s="6"/>
      <c r="M5" s="6" t="s">
        <v>57</v>
      </c>
      <c r="N5" s="6"/>
      <c r="O5" s="9">
        <v>4620</v>
      </c>
      <c r="P5" s="6">
        <v>780</v>
      </c>
      <c r="Q5" s="6" t="s">
        <v>58</v>
      </c>
      <c r="R5" s="6"/>
      <c r="S5" s="6" t="s">
        <v>36</v>
      </c>
      <c r="T5" s="6"/>
      <c r="U5" s="9">
        <v>5400</v>
      </c>
      <c r="V5" s="6">
        <v>0</v>
      </c>
      <c r="W5" s="6" t="s">
        <v>59</v>
      </c>
      <c r="X5" s="9">
        <v>2080312278</v>
      </c>
      <c r="Y5" s="6" t="s">
        <v>60</v>
      </c>
      <c r="Z5" s="6" t="s">
        <v>61</v>
      </c>
      <c r="AA5" s="6" t="s">
        <v>62</v>
      </c>
      <c r="AB5" s="6"/>
    </row>
    <row r="6" spans="1:28" s="10" customFormat="1" ht="15" customHeight="1" x14ac:dyDescent="0.3">
      <c r="A6" s="4">
        <f>ROW()-1</f>
        <v>5</v>
      </c>
      <c r="B6" s="5" t="s">
        <v>28</v>
      </c>
      <c r="C6" s="6" t="s">
        <v>53</v>
      </c>
      <c r="D6" s="7">
        <f>O6+P6+V6</f>
        <v>8850</v>
      </c>
      <c r="E6" s="7">
        <v>4318927650</v>
      </c>
      <c r="F6" s="6" t="s">
        <v>72</v>
      </c>
      <c r="G6" s="8">
        <v>1</v>
      </c>
      <c r="H6" s="6" t="s">
        <v>54</v>
      </c>
      <c r="I6" s="6" t="s">
        <v>54</v>
      </c>
      <c r="J6" s="6" t="s">
        <v>55</v>
      </c>
      <c r="K6" s="6" t="s">
        <v>56</v>
      </c>
      <c r="L6" s="6"/>
      <c r="M6" s="6" t="s">
        <v>63</v>
      </c>
      <c r="N6" s="6"/>
      <c r="O6" s="9">
        <v>4940</v>
      </c>
      <c r="P6" s="6">
        <v>910</v>
      </c>
      <c r="Q6" s="6" t="s">
        <v>58</v>
      </c>
      <c r="R6" s="6"/>
      <c r="S6" s="6" t="s">
        <v>36</v>
      </c>
      <c r="T6" s="6"/>
      <c r="U6" s="9">
        <v>5850</v>
      </c>
      <c r="V6" s="6">
        <v>3000</v>
      </c>
      <c r="W6" s="6" t="s">
        <v>64</v>
      </c>
      <c r="X6" s="9">
        <v>2080312281</v>
      </c>
      <c r="Y6" s="6" t="s">
        <v>65</v>
      </c>
      <c r="Z6" s="6" t="s">
        <v>66</v>
      </c>
      <c r="AA6" s="6" t="s">
        <v>67</v>
      </c>
      <c r="AB6" s="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단계1_13_전체작업">
                <anchor moveWithCells="1" sizeWithCells="1">
                  <from>
                    <xdr:col>1</xdr:col>
                    <xdr:colOff>247650</xdr:colOff>
                    <xdr:row>0</xdr:row>
                    <xdr:rowOff>66675</xdr:rowOff>
                  </from>
                  <to>
                    <xdr:col>1</xdr:col>
                    <xdr:colOff>1323975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 sizeWithCells="1">
                  <from>
                    <xdr:col>1</xdr:col>
                    <xdr:colOff>1390650</xdr:colOff>
                    <xdr:row>0</xdr:row>
                    <xdr:rowOff>66675</xdr:rowOff>
                  </from>
                  <to>
                    <xdr:col>2</xdr:col>
                    <xdr:colOff>1057275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2</xdr:col>
                    <xdr:colOff>1114425</xdr:colOff>
                    <xdr:row>0</xdr:row>
                    <xdr:rowOff>66675</xdr:rowOff>
                  </from>
                  <to>
                    <xdr:col>3</xdr:col>
                    <xdr:colOff>628650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D1718-BCFE-4051-AB07-035862D58764}">
  <dimension ref="A1:AB1"/>
  <sheetViews>
    <sheetView tabSelected="1" workbookViewId="0">
      <selection activeCell="E2" sqref="E2:E6"/>
    </sheetView>
  </sheetViews>
  <sheetFormatPr defaultRowHeight="16.5" x14ac:dyDescent="0.3"/>
  <cols>
    <col min="1" max="1" width="4" customWidth="1"/>
    <col min="2" max="2" width="18.5" customWidth="1"/>
    <col min="3" max="3" width="27.375" customWidth="1"/>
    <col min="4" max="4" width="10.625" customWidth="1"/>
    <col min="5" max="5" width="43.25" customWidth="1"/>
    <col min="6" max="6" width="87.5" customWidth="1"/>
    <col min="7" max="7" width="4" customWidth="1"/>
    <col min="8" max="9" width="14.25" customWidth="1"/>
    <col min="10" max="10" width="65.625" customWidth="1"/>
    <col min="11" max="11" width="7.25" customWidth="1"/>
    <col min="12" max="12" width="15.375" customWidth="1"/>
    <col min="13" max="13" width="43.25" customWidth="1"/>
    <col min="14" max="14" width="61" customWidth="1"/>
    <col min="15" max="15" width="10.375" customWidth="1"/>
    <col min="16" max="16" width="19" customWidth="1"/>
    <col min="17" max="17" width="11" customWidth="1"/>
    <col min="18" max="18" width="8.75" customWidth="1"/>
    <col min="19" max="19" width="20.5" customWidth="1"/>
    <col min="20" max="20" width="54" customWidth="1"/>
    <col min="21" max="21" width="13.125" customWidth="1"/>
    <col min="22" max="22" width="5.625" customWidth="1"/>
    <col min="23" max="23" width="11.875" customWidth="1"/>
    <col min="24" max="24" width="43.25" customWidth="1"/>
    <col min="25" max="25" width="216.125" customWidth="1"/>
    <col min="26" max="26" width="75.5" customWidth="1"/>
    <col min="27" max="27" width="5.625" customWidth="1"/>
  </cols>
  <sheetData>
    <row r="1" spans="1:28" s="3" customFormat="1" ht="15" customHeight="1" x14ac:dyDescent="0.2">
      <c r="A1" s="1" t="s">
        <v>0</v>
      </c>
      <c r="B1" s="2" t="s">
        <v>1</v>
      </c>
      <c r="C1" s="2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25</v>
      </c>
      <c r="T1" s="2" t="s">
        <v>18</v>
      </c>
      <c r="U1" s="2" t="s">
        <v>26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s="2" t="s">
        <v>27</v>
      </c>
      <c r="AB1" s="2" t="s">
        <v>24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단계1_13_전체작업">
                <anchor moveWithCells="1" sizeWithCells="1">
                  <from>
                    <xdr:col>1</xdr:col>
                    <xdr:colOff>247650</xdr:colOff>
                    <xdr:row>0</xdr:row>
                    <xdr:rowOff>66675</xdr:rowOff>
                  </from>
                  <to>
                    <xdr:col>1</xdr:col>
                    <xdr:colOff>1323975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1</xdr:col>
                    <xdr:colOff>1390650</xdr:colOff>
                    <xdr:row>0</xdr:row>
                    <xdr:rowOff>66675</xdr:rowOff>
                  </from>
                  <to>
                    <xdr:col>2</xdr:col>
                    <xdr:colOff>1057275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2</xdr:col>
                    <xdr:colOff>1114425</xdr:colOff>
                    <xdr:row>0</xdr:row>
                    <xdr:rowOff>66675</xdr:rowOff>
                  </from>
                  <to>
                    <xdr:col>3</xdr:col>
                    <xdr:colOff>628650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자동화_합포장</vt:lpstr>
      <vt:lpstr>OK,CL,BB</vt:lpstr>
      <vt:lpstr>IY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MASTER-120GB</cp:lastModifiedBy>
  <dcterms:created xsi:type="dcterms:W3CDTF">2025-05-19T05:22:30Z</dcterms:created>
  <dcterms:modified xsi:type="dcterms:W3CDTF">2025-07-10T05:44:58Z</dcterms:modified>
</cp:coreProperties>
</file>